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urillo\Downloads\"/>
    </mc:Choice>
  </mc:AlternateContent>
  <xr:revisionPtr revIDLastSave="0" documentId="13_ncr:1_{F99A0DD4-4AA5-47C6-99D9-C318034EF8E8}" xr6:coauthVersionLast="47" xr6:coauthVersionMax="47" xr10:uidLastSave="{00000000-0000-0000-0000-000000000000}"/>
  <bookViews>
    <workbookView xWindow="-120" yWindow="-120" windowWidth="29040" windowHeight="15720" tabRatio="0" firstSheet="3" activeTab="3" xr2:uid="{00000000-000D-0000-FFFF-FFFF00000000}"/>
  </bookViews>
  <sheets>
    <sheet name="A̳ssets" sheetId="1" state="hidden" r:id="rId1"/>
    <sheet name="B̳ases" sheetId="2" state="hidden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3" l="1"/>
  <c r="C4" i="3"/>
</calcChain>
</file>

<file path=xl/sharedStrings.xml><?xml version="1.0" encoding="utf-8"?>
<sst xmlns="http://schemas.openxmlformats.org/spreadsheetml/2006/main" count="2017" uniqueCount="325">
  <si>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</si>
  <si>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</si>
  <si>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</si>
  <si>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</si>
  <si>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</si>
  <si>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</si>
  <si>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</si>
  <si>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</si>
  <si>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</si>
  <si>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</si>
  <si>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</si>
  <si>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</si>
  <si>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</si>
  <si>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</si>
  <si>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</si>
  <si>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</si>
  <si>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</si>
  <si>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</si>
  <si>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</si>
  <si>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</si>
  <si>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</si>
  <si>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</si>
  <si>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</si>
  <si>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</si>
  <si>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</si>
  <si>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</si>
  <si>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</si>
  <si>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</si>
  <si>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</si>
  <si>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</si>
  <si>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</si>
  <si>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</si>
  <si>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</si>
  <si>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</si>
  <si>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</si>
  <si>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</si>
  <si>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</si>
  <si>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</si>
  <si>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</si>
  <si>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</si>
  <si>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</si>
  <si>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</si>
  <si>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</si>
  <si>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</si>
  <si>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</si>
  <si>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</si>
  <si>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</si>
  <si>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</si>
  <si>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</si>
  <si>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</si>
  <si>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</si>
  <si>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</si>
  <si>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</si>
  <si>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</si>
  <si>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</si>
  <si>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</si>
  <si>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</si>
  <si>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</si>
  <si>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</si>
  <si>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</si>
  <si>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</si>
  <si>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</si>
  <si>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</si>
  <si>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</si>
  <si>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</si>
  <si>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</si>
  <si>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</si>
  <si>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</si>
  <si>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</si>
  <si>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</si>
  <si>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</si>
  <si>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</si>
  <si>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</si>
  <si>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</si>
  <si>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</si>
  <si>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</si>
  <si>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</si>
  <si>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</si>
  <si>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</si>
  <si>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</si>
  <si>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</si>
  <si>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</si>
  <si>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</si>
  <si>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</si>
  <si>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</si>
  <si>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</si>
  <si>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</si>
  <si>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</si>
  <si>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</si>
  <si>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</si>
  <si>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</si>
  <si>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</si>
  <si>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</si>
  <si>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</si>
  <si>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</si>
  <si>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</si>
  <si>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</si>
  <si>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</si>
  <si>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</si>
  <si>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</si>
  <si>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</si>
  <si>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</si>
  <si>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</si>
  <si>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</si>
  <si>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</si>
  <si>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</si>
  <si>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</si>
  <si>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</si>
  <si>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</si>
  <si>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</si>
  <si>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</si>
  <si>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</si>
  <si>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</si>
  <si>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</si>
  <si>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</si>
  <si>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</si>
  <si>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</si>
  <si>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</si>
  <si>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</si>
  <si>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</si>
  <si>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</si>
  <si>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</si>
  <si>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</si>
  <si>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</si>
  <si>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</si>
  <si>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</si>
  <si>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</si>
  <si>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</si>
  <si>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</si>
  <si>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</si>
  <si>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</si>
  <si>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</si>
  <si>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</si>
  <si>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</si>
  <si>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</si>
  <si>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</si>
  <si>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</si>
  <si>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</si>
  <si>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</si>
  <si>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</si>
  <si>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</si>
  <si>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</si>
  <si>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</si>
  <si>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</si>
  <si>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</si>
  <si>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</si>
  <si>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</si>
  <si>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</si>
  <si>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</si>
  <si>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</si>
  <si>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</si>
  <si>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</si>
  <si>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</si>
  <si>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</si>
  <si>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</si>
  <si>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</si>
  <si>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</si>
  <si>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</si>
  <si>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</si>
  <si>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</si>
  <si>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</si>
  <si>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</si>
  <si>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</si>
  <si>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</si>
  <si>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</si>
  <si>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</si>
  <si>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</si>
  <si>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</si>
  <si>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</si>
  <si>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</si>
  <si>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</si>
  <si>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</si>
  <si>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</si>
  <si>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</si>
  <si>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</si>
  <si>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</si>
  <si>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</si>
  <si>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</si>
  <si>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</si>
  <si>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</si>
  <si>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</si>
  <si>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</si>
  <si>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</si>
  <si>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</si>
  <si>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</si>
  <si>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</si>
  <si>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</si>
  <si>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</si>
  <si>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</si>
  <si>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</si>
  <si>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</si>
  <si>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</si>
  <si>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</si>
  <si>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</si>
  <si>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</si>
  <si>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</si>
  <si>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</si>
  <si>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</si>
  <si>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</si>
  <si>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</si>
  <si>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</si>
  <si>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</si>
  <si>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</si>
  <si>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</si>
  <si>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</si>
  <si>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</si>
  <si>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</si>
  <si>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</si>
  <si>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</si>
  <si>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</si>
  <si>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</si>
  <si>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</si>
  <si>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</si>
  <si>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</si>
  <si>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</si>
  <si>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</si>
  <si>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</si>
  <si>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</si>
  <si>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</si>
  <si>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</si>
  <si>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</si>
  <si>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</si>
  <si>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</si>
  <si>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</si>
  <si>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</si>
  <si>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</si>
  <si>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</si>
  <si>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</si>
  <si>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</si>
  <si>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</si>
  <si>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</si>
  <si>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</si>
  <si>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</si>
  <si>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</si>
  <si>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</si>
  <si>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</si>
  <si>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</si>
  <si>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</si>
  <si>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</si>
  <si>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</si>
  <si>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</si>
  <si>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</si>
  <si>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</si>
  <si>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</si>
  <si>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</si>
  <si>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</si>
  <si>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</si>
  <si>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</si>
  <si>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</si>
  <si>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</si>
  <si>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</si>
  <si>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</si>
  <si>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</si>
  <si>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</si>
  <si>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</si>
  <si>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</si>
  <si>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</si>
  <si>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</si>
  <si>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</si>
  <si>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</si>
  <si>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</si>
  <si>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</si>
  <si>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</si>
  <si>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</si>
  <si>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</si>
  <si>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</si>
  <si>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</si>
  <si>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</si>
  <si>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</si>
  <si>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</si>
  <si>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</si>
  <si>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</si>
  <si>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</si>
  <si>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</si>
  <si>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</si>
  <si>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</si>
  <si>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</si>
  <si>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</si>
  <si>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</si>
  <si>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</si>
  <si>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</si>
  <si>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</si>
  <si>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</si>
  <si>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</si>
  <si>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</si>
  <si>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</si>
  <si>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</si>
  <si>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</si>
  <si>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</si>
  <si>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</si>
  <si>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</si>
  <si>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</si>
  <si>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</si>
  <si>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</si>
  <si>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</si>
  <si>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</si>
  <si>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</si>
  <si>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</si>
  <si>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</si>
  <si>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</si>
  <si>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</si>
  <si>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</si>
  <si>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</si>
  <si>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</si>
  <si>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</si>
  <si>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</si>
  <si>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</si>
  <si>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</si>
  <si>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</si>
  <si>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</si>
  <si>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</si>
  <si>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</si>
  <si>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</si>
  <si>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1 - Qual foi o faturamento total?</t>
  </si>
  <si>
    <t>2 - Qual modalidade gera mais receita?</t>
  </si>
  <si>
    <t>3 - Qual plano gera mais receita?</t>
  </si>
  <si>
    <t>4 - Qual percentual dos clientes utiliza renovação automática?</t>
  </si>
  <si>
    <t>Soma de Total Value</t>
  </si>
  <si>
    <t>Rótulos de Linha</t>
  </si>
  <si>
    <t>Total Geral</t>
  </si>
  <si>
    <t>Contagem de Subscriber ID</t>
  </si>
  <si>
    <t>% Clientes com Renovação Automática</t>
  </si>
  <si>
    <t>&gt; painel de vendas</t>
  </si>
  <si>
    <t xml:space="preserve"> bem vindo, Murillo</t>
  </si>
  <si>
    <t>Painel de Vendas Xbox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</si>
</sst>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Segoe UI Black"/>
      <family val="2"/>
    </font>
    <font>
      <sz val="11"/>
      <color theme="0"/>
      <name val="Segoe UI Semibold"/>
      <family val="2"/>
    </font>
    <font>
      <b/>
      <sz val="28"/>
      <color rgb="FF22C55E"/>
      <name val="Segoe UI"/>
      <family val="2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9BC84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  <xf numFmtId="0" fontId="4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" fillId="0" borderId="2" xfId="1" applyBorder="1"/>
    <xf numFmtId="0" fontId="6" fillId="0" borderId="2" xfId="1" applyFont="1" applyBorder="1"/>
    <xf numFmtId="0" fontId="7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96"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name val="Segoe UI Black"/>
        <family val="2"/>
        <scheme val="none"/>
      </font>
      <fill>
        <patternFill>
          <bgColor theme="9"/>
        </patternFill>
      </fill>
    </dxf>
    <dxf>
      <fill>
        <patternFill>
          <bgColor rgb="FF5BF6A8"/>
        </patternFill>
      </fill>
    </dxf>
  </dxfs>
  <tableStyles count="1" defaultTableStyle="TableStyleMedium2" defaultPivotStyle="PivotStyleLight16">
    <tableStyle name="Estilo de Segmentação de Dados 1" pivot="0" table="0" count="3" xr9:uid="{BA16F43D-B603-4358-9D7A-ABF8309498CA}">
      <tableStyleElement type="wholeTable" dxfId="95"/>
      <tableStyleElement type="headerRow" dxfId="94"/>
    </tableStyle>
  </tableStyles>
  <colors>
    <mruColors>
      <color rgb="FF9BC848"/>
      <color rgb="FF2AE6B1"/>
      <color rgb="FFE8E6E9"/>
      <color rgb="FF22C55E"/>
      <color rgb="FF5BF6A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rgb="FF00B050"/>
            </patternFill>
          </fill>
          <border>
            <left style="thick">
              <color rgb="FF9BC848"/>
            </left>
            <right style="thick">
              <color rgb="FF9BC848"/>
            </right>
            <top style="thick">
              <color rgb="FF9BC848"/>
            </top>
            <bottom style="thick">
              <color rgb="FF9BC848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[Base_Desafio.xlsx]C̳álculos!Tabela dinâmica8</c:name>
    <c:fmtId val="1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BC848"/>
          </a:solidFill>
          <a:ln>
            <a:noFill/>
          </a:ln>
          <a:effectLst/>
        </c:spPr>
      </c:pivotFmt>
      <c:pivotFmt>
        <c:idx val="4"/>
        <c:spPr>
          <a:solidFill>
            <a:srgbClr val="9BC848"/>
          </a:solidFill>
          <a:ln>
            <a:noFill/>
          </a:ln>
          <a:effectLst/>
        </c:spPr>
      </c:pivotFmt>
      <c:pivotFmt>
        <c:idx val="5"/>
        <c:spPr>
          <a:solidFill>
            <a:srgbClr val="9BC84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1.2851409802546546E-2"/>
          <c:y val="3.9900259822951763E-2"/>
          <c:w val="0.95960986074509258"/>
          <c:h val="0.90924481689341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C̳álculos!$B$8:$B$10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C̳álculos!$C$8:$C$10</c:f>
              <c:numCache>
                <c:formatCode>"R$"\ #,##0.00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9-4CC8-9A8F-59A12CD26EB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5048720"/>
        <c:axId val="1725049200"/>
      </c:barChart>
      <c:catAx>
        <c:axId val="172504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725049200"/>
        <c:crosses val="autoZero"/>
        <c:auto val="1"/>
        <c:lblAlgn val="ctr"/>
        <c:lblOffset val="100"/>
        <c:noMultiLvlLbl val="0"/>
      </c:catAx>
      <c:valAx>
        <c:axId val="1725049200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72504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[Base_Desafio.xlsx]C̳álculos!Tabela dinâmica10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9BC848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BC848"/>
          </a:solidFill>
          <a:ln w="19050">
            <a:noFill/>
          </a:ln>
          <a:effectLst/>
        </c:spPr>
      </c:pivotFmt>
      <c:pivotFmt>
        <c:idx val="6"/>
        <c:spPr>
          <a:solidFill>
            <a:srgbClr val="22C55E"/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685522919236884"/>
          <c:y val="8.4306669610223955E-2"/>
          <c:w val="0.63188437662585517"/>
          <c:h val="0.80646454239948984"/>
        </c:manualLayout>
      </c:layout>
      <c:pieChart>
        <c:varyColors val="1"/>
        <c:ser>
          <c:idx val="0"/>
          <c:order val="0"/>
          <c:tx>
            <c:strRef>
              <c:f>C̳álculos!$C$21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</c:spPr>
          <c:dPt>
            <c:idx val="0"/>
            <c:bubble3D val="0"/>
            <c:spPr>
              <a:solidFill>
                <a:srgbClr val="9BC84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88-4DDE-89DD-305CD8C03547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88-4DDE-89DD-305CD8C035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C̳álculos!$B$22:$B$24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C̳álculos!$C$22:$C$24</c:f>
              <c:numCache>
                <c:formatCode>General</c:formatCode>
                <c:ptCount val="2"/>
                <c:pt idx="0">
                  <c:v>147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88-4DDE-89DD-305CD8C03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971574811923788"/>
          <c:y val="0.43492875470544179"/>
          <c:w val="0.10349425306888883"/>
          <c:h val="0.145469180719175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[Base_Desafio.xlsx]C̳álculos!Tabela dinâmica9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cat>
            <c:strRef>
              <c:f>C̳álculos!$B$15:$B$17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C̳álculos!$C$15:$C$17</c:f>
              <c:numCache>
                <c:formatCode>"R$"\ #,##0.00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4-4E79-AFA3-D17A4DC0F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0065264"/>
        <c:axId val="1760074384"/>
      </c:barChart>
      <c:catAx>
        <c:axId val="176006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760074384"/>
        <c:crosses val="autoZero"/>
        <c:auto val="1"/>
        <c:lblAlgn val="ctr"/>
        <c:lblOffset val="100"/>
        <c:noMultiLvlLbl val="0"/>
      </c:catAx>
      <c:valAx>
        <c:axId val="1760074384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76006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6.png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164306</xdr:colOff>
      <xdr:row>54</xdr:row>
      <xdr:rowOff>142875</xdr:rowOff>
    </xdr:from>
    <xdr:to>
      <xdr:col>14</xdr:col>
      <xdr:colOff>45243</xdr:colOff>
      <xdr:row>83</xdr:row>
      <xdr:rowOff>157165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A92821D2-D47E-41A4-A5D2-EFCB758ED388}"/>
            </a:ext>
          </a:extLst>
        </xdr:cNvPr>
        <xdr:cNvSpPr/>
      </xdr:nvSpPr>
      <xdr:spPr>
        <a:xfrm>
          <a:off x="3188494" y="10822781"/>
          <a:ext cx="6393655" cy="5538790"/>
        </a:xfrm>
        <a:prstGeom prst="roundRect">
          <a:avLst>
            <a:gd name="adj" fmla="val 722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142875</xdr:colOff>
      <xdr:row>22</xdr:row>
      <xdr:rowOff>83344</xdr:rowOff>
    </xdr:from>
    <xdr:to>
      <xdr:col>25</xdr:col>
      <xdr:colOff>464342</xdr:colOff>
      <xdr:row>51</xdr:row>
      <xdr:rowOff>97634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1BDB80FD-F9E4-4D89-8F3F-D618141F229B}"/>
            </a:ext>
          </a:extLst>
        </xdr:cNvPr>
        <xdr:cNvSpPr/>
      </xdr:nvSpPr>
      <xdr:spPr>
        <a:xfrm>
          <a:off x="10287000" y="4667250"/>
          <a:ext cx="6393655" cy="5538790"/>
        </a:xfrm>
        <a:prstGeom prst="roundRect">
          <a:avLst>
            <a:gd name="adj" fmla="val 722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164306</xdr:colOff>
      <xdr:row>22</xdr:row>
      <xdr:rowOff>83344</xdr:rowOff>
    </xdr:from>
    <xdr:to>
      <xdr:col>14</xdr:col>
      <xdr:colOff>45243</xdr:colOff>
      <xdr:row>51</xdr:row>
      <xdr:rowOff>97634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F2B44685-07EB-413A-8EC6-099F4396254A}"/>
            </a:ext>
          </a:extLst>
        </xdr:cNvPr>
        <xdr:cNvSpPr/>
      </xdr:nvSpPr>
      <xdr:spPr>
        <a:xfrm>
          <a:off x="3188494" y="4667250"/>
          <a:ext cx="6393655" cy="5538790"/>
        </a:xfrm>
        <a:prstGeom prst="roundRect">
          <a:avLst>
            <a:gd name="adj" fmla="val 722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11</xdr:col>
      <xdr:colOff>297655</xdr:colOff>
      <xdr:row>17</xdr:row>
      <xdr:rowOff>0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61E9BA19-8672-42FD-6BE6-787B8D140F29}"/>
            </a:ext>
          </a:extLst>
        </xdr:cNvPr>
        <xdr:cNvSpPr/>
      </xdr:nvSpPr>
      <xdr:spPr>
        <a:xfrm>
          <a:off x="3631406" y="1488281"/>
          <a:ext cx="4548187" cy="2143125"/>
        </a:xfrm>
        <a:prstGeom prst="roundRect">
          <a:avLst>
            <a:gd name="adj" fmla="val 722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315518</xdr:colOff>
      <xdr:row>7</xdr:row>
      <xdr:rowOff>83343</xdr:rowOff>
    </xdr:from>
    <xdr:to>
      <xdr:col>10</xdr:col>
      <xdr:colOff>583407</xdr:colOff>
      <xdr:row>15</xdr:row>
      <xdr:rowOff>47625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B5B2A5AA-1F9D-3AAE-FFA0-2E4A45091CA4}"/>
            </a:ext>
          </a:extLst>
        </xdr:cNvPr>
        <xdr:cNvGrpSpPr/>
      </xdr:nvGrpSpPr>
      <xdr:grpSpPr>
        <a:xfrm>
          <a:off x="3954068" y="1778793"/>
          <a:ext cx="3925489" cy="1507332"/>
          <a:chOff x="2494360" y="3369468"/>
          <a:chExt cx="3911202" cy="1512094"/>
        </a:xfrm>
      </xdr:grpSpPr>
      <xdr:sp macro="" textlink="C̳álculos!C4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F8C960A8-73A1-54D0-7429-AE48EAEBFF4E}"/>
              </a:ext>
            </a:extLst>
          </xdr:cNvPr>
          <xdr:cNvSpPr/>
        </xdr:nvSpPr>
        <xdr:spPr>
          <a:xfrm>
            <a:off x="2494360" y="3405186"/>
            <a:ext cx="3911202" cy="1476376"/>
          </a:xfrm>
          <a:prstGeom prst="roundRect">
            <a:avLst>
              <a:gd name="adj" fmla="val 4701"/>
            </a:avLst>
          </a:prstGeom>
          <a:solidFill>
            <a:srgbClr val="9BC848"/>
          </a:solidFill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28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ctr"/>
            <a:fld id="{95D8703A-687D-4BDD-99D8-FBAA60C51973}" type="TxLink">
              <a:rPr lang="en-US" sz="2800" b="1" i="0" u="none" strike="noStrike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R$ 7.633,00</a:t>
            </a:fld>
            <a:endParaRPr lang="pt-BR" sz="2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6" name="Retângulo: Cantos Superiores Arredondados 5">
            <a:extLst>
              <a:ext uri="{FF2B5EF4-FFF2-40B4-BE49-F238E27FC236}">
                <a16:creationId xmlns:a16="http://schemas.microsoft.com/office/drawing/2014/main" id="{A3D01FEA-C80D-646A-929C-1F9EFEB34745}"/>
              </a:ext>
            </a:extLst>
          </xdr:cNvPr>
          <xdr:cNvSpPr/>
        </xdr:nvSpPr>
        <xdr:spPr>
          <a:xfrm>
            <a:off x="2500312" y="3369468"/>
            <a:ext cx="3893344" cy="511969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800">
                <a:latin typeface="+mj-lt"/>
              </a:rPr>
              <a:t>FATURAMENTO </a:t>
            </a:r>
            <a:r>
              <a:rPr lang="pt-BR" sz="28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</a:p>
        </xdr:txBody>
      </xdr:sp>
    </xdr:grpSp>
    <xdr:clientData/>
  </xdr:twoCellAnchor>
  <xdr:twoCellAnchor>
    <xdr:from>
      <xdr:col>3</xdr:col>
      <xdr:colOff>0</xdr:colOff>
      <xdr:row>23</xdr:row>
      <xdr:rowOff>190499</xdr:rowOff>
    </xdr:from>
    <xdr:to>
      <xdr:col>14</xdr:col>
      <xdr:colOff>404811</xdr:colOff>
      <xdr:row>50</xdr:row>
      <xdr:rowOff>83342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D3C4840D-EBF1-BB12-026B-0A3B828F4C85}"/>
            </a:ext>
          </a:extLst>
        </xdr:cNvPr>
        <xdr:cNvGrpSpPr/>
      </xdr:nvGrpSpPr>
      <xdr:grpSpPr>
        <a:xfrm>
          <a:off x="3028950" y="4952999"/>
          <a:ext cx="6938961" cy="5036343"/>
          <a:chOff x="3024188" y="5072063"/>
          <a:chExt cx="6917529" cy="5036343"/>
        </a:xfrm>
      </xdr:grpSpPr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0C615E28-BF6F-4C97-A639-77AFF593501A}"/>
              </a:ext>
            </a:extLst>
          </xdr:cNvPr>
          <xdr:cNvGraphicFramePr>
            <a:graphicFrameLocks/>
          </xdr:cNvGraphicFramePr>
        </xdr:nvGraphicFramePr>
        <xdr:xfrm>
          <a:off x="3024188" y="5334001"/>
          <a:ext cx="6917529" cy="477440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BB4A7BA1-E147-4FED-9EAA-2CF114573471}"/>
              </a:ext>
            </a:extLst>
          </xdr:cNvPr>
          <xdr:cNvSpPr/>
        </xdr:nvSpPr>
        <xdr:spPr>
          <a:xfrm>
            <a:off x="4357687" y="5072063"/>
            <a:ext cx="4371977" cy="511969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2800">
                <a:latin typeface="Segoe UI" panose="020B0502040204020203" pitchFamily="34" charset="0"/>
                <a:cs typeface="Segoe UI" panose="020B0502040204020203" pitchFamily="34" charset="0"/>
              </a:rPr>
              <a:t>Receita por Modalidade</a:t>
            </a:r>
          </a:p>
        </xdr:txBody>
      </xdr:sp>
    </xdr:grpSp>
    <xdr:clientData/>
  </xdr:twoCellAnchor>
  <xdr:twoCellAnchor>
    <xdr:from>
      <xdr:col>17</xdr:col>
      <xdr:colOff>321469</xdr:colOff>
      <xdr:row>24</xdr:row>
      <xdr:rowOff>23813</xdr:rowOff>
    </xdr:from>
    <xdr:to>
      <xdr:col>23</xdr:col>
      <xdr:colOff>571500</xdr:colOff>
      <xdr:row>26</xdr:row>
      <xdr:rowOff>154782</xdr:rowOff>
    </xdr:to>
    <xdr:sp macro="" textlink="">
      <xdr:nvSpPr>
        <xdr:cNvPr id="11" name="Retângulo: Cantos Superiores Arredondados 10">
          <a:extLst>
            <a:ext uri="{FF2B5EF4-FFF2-40B4-BE49-F238E27FC236}">
              <a16:creationId xmlns:a16="http://schemas.microsoft.com/office/drawing/2014/main" id="{D2DC0A89-2F2F-4039-A6A9-4FFCCC8A7B51}"/>
            </a:ext>
          </a:extLst>
        </xdr:cNvPr>
        <xdr:cNvSpPr/>
      </xdr:nvSpPr>
      <xdr:spPr>
        <a:xfrm>
          <a:off x="11680032" y="4988719"/>
          <a:ext cx="3893343" cy="511969"/>
        </a:xfrm>
        <a:prstGeom prst="round2Same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2800">
              <a:latin typeface="Segoe UI" panose="020B0502040204020203" pitchFamily="34" charset="0"/>
              <a:cs typeface="Segoe UI" panose="020B0502040204020203" pitchFamily="34" charset="0"/>
            </a:rPr>
            <a:t>Receita por Plano</a:t>
          </a:r>
        </a:p>
      </xdr:txBody>
    </xdr:sp>
    <xdr:clientData/>
  </xdr:twoCellAnchor>
  <xdr:twoCellAnchor editAs="absolute">
    <xdr:from>
      <xdr:col>0</xdr:col>
      <xdr:colOff>790575</xdr:colOff>
      <xdr:row>1</xdr:row>
      <xdr:rowOff>59532</xdr:rowOff>
    </xdr:from>
    <xdr:to>
      <xdr:col>0</xdr:col>
      <xdr:colOff>1485900</xdr:colOff>
      <xdr:row>3</xdr:row>
      <xdr:rowOff>40482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4EFF21D4-7D76-4652-881D-F99E32E88C9E}"/>
            </a:ext>
          </a:extLst>
        </xdr:cNvPr>
        <xdr:cNvSpPr/>
      </xdr:nvSpPr>
      <xdr:spPr>
        <a:xfrm>
          <a:off x="790575" y="250032"/>
          <a:ext cx="695325" cy="695325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</xdr:colOff>
      <xdr:row>9</xdr:row>
      <xdr:rowOff>47625</xdr:rowOff>
    </xdr:from>
    <xdr:to>
      <xdr:col>0</xdr:col>
      <xdr:colOff>2166937</xdr:colOff>
      <xdr:row>17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Subscription Type">
              <a:extLst>
                <a:ext uri="{FF2B5EF4-FFF2-40B4-BE49-F238E27FC236}">
                  <a16:creationId xmlns:a16="http://schemas.microsoft.com/office/drawing/2014/main" id="{1A7C1CA0-E73D-4796-BC2A-B7BD656600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2143125"/>
              <a:ext cx="2166936" cy="1571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476252</xdr:colOff>
      <xdr:row>58</xdr:row>
      <xdr:rowOff>0</xdr:rowOff>
    </xdr:from>
    <xdr:to>
      <xdr:col>12</xdr:col>
      <xdr:colOff>478632</xdr:colOff>
      <xdr:row>82</xdr:row>
      <xdr:rowOff>23812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04181D8-63E3-DBDA-5EB3-AA54D0E037CD}"/>
            </a:ext>
          </a:extLst>
        </xdr:cNvPr>
        <xdr:cNvGrpSpPr/>
      </xdr:nvGrpSpPr>
      <xdr:grpSpPr>
        <a:xfrm>
          <a:off x="4114802" y="11430000"/>
          <a:ext cx="4707730" cy="4595812"/>
          <a:chOff x="7284245" y="12249148"/>
          <a:chExt cx="5203031" cy="4922044"/>
        </a:xfrm>
      </xdr:grpSpPr>
      <xdr:graphicFrame macro="">
        <xdr:nvGraphicFramePr>
          <xdr:cNvPr id="14" name="Gráfico 13">
            <a:extLst>
              <a:ext uri="{FF2B5EF4-FFF2-40B4-BE49-F238E27FC236}">
                <a16:creationId xmlns:a16="http://schemas.microsoft.com/office/drawing/2014/main" id="{BBF68F56-2187-48CF-A13A-DB1F3CC90C7F}"/>
              </a:ext>
            </a:extLst>
          </xdr:cNvPr>
          <xdr:cNvGraphicFramePr>
            <a:graphicFrameLocks/>
          </xdr:cNvGraphicFramePr>
        </xdr:nvGraphicFramePr>
        <xdr:xfrm>
          <a:off x="7284245" y="13094492"/>
          <a:ext cx="5203031" cy="40767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F5D9682D-02BF-457A-A46F-FBA6A3D95437}"/>
              </a:ext>
            </a:extLst>
          </xdr:cNvPr>
          <xdr:cNvSpPr/>
        </xdr:nvSpPr>
        <xdr:spPr>
          <a:xfrm>
            <a:off x="7820027" y="12249148"/>
            <a:ext cx="4136650" cy="511969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2800">
                <a:latin typeface="Segoe UI" panose="020B0502040204020203" pitchFamily="34" charset="0"/>
                <a:cs typeface="Segoe UI" panose="020B0502040204020203" pitchFamily="34" charset="0"/>
              </a:rPr>
              <a:t>Renovação</a:t>
            </a:r>
            <a:r>
              <a:rPr lang="pt-BR" sz="2800">
                <a:latin typeface="+mj-lt"/>
              </a:rPr>
              <a:t> Automática </a:t>
            </a:r>
          </a:p>
        </xdr:txBody>
      </xdr:sp>
    </xdr:grpSp>
    <xdr:clientData/>
  </xdr:twoCellAnchor>
  <xdr:twoCellAnchor>
    <xdr:from>
      <xdr:col>15</xdr:col>
      <xdr:colOff>261939</xdr:colOff>
      <xdr:row>27</xdr:row>
      <xdr:rowOff>114300</xdr:rowOff>
    </xdr:from>
    <xdr:to>
      <xdr:col>25</xdr:col>
      <xdr:colOff>380999</xdr:colOff>
      <xdr:row>50</xdr:row>
      <xdr:rowOff>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7EF3A6FA-AB08-4954-9939-9275BF53D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" refreshedDate="46175.523081712963" createdVersion="6" refreshedVersion="6" minRefreshableVersion="3" recordCount="295" xr:uid="{00000000-000A-0000-FFFF-FFFF2000000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533168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9">
  <location ref="B21:C24" firstHeaderRow="1" firstDataRow="1" firstDataCol="1"/>
  <pivotFields count="13">
    <pivotField dataField="1"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Subscriber ID" fld="0" subtotal="count" baseField="4" baseItem="0"/>
  </dataFields>
  <formats count="1">
    <format dxfId="76">
      <pivotArea outline="0" collapsedLevelsAreSubtotals="1" fieldPosition="0"/>
    </format>
  </format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Tabela dinâmica9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20">
  <location ref="B14:C17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Soma de Total Value" fld="12" baseField="2" baseItem="0" numFmtId="164"/>
  </dataFields>
  <formats count="1">
    <format dxfId="77">
      <pivotArea outline="0" collapsedLevelsAreSubtotals="1" fieldPosition="0"/>
    </format>
  </format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ela dinâmica8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20">
  <location ref="B7:C10" firstHeaderRow="1" firstDataRow="1" firstDataCol="1"/>
  <pivotFields count="13">
    <pivotField showAll="0"/>
    <pivotField showAll="0"/>
    <pivotField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Soma de Total Value" fld="12" baseField="0" baseItem="0" numFmtId="164"/>
  </dataFields>
  <formats count="1">
    <format dxfId="78">
      <pivotArea outline="0" collapsedLevelsAreSubtotals="1" fieldPosition="0"/>
    </format>
  </formats>
  <chartFormats count="5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B3:B4" firstHeaderRow="1" firstDataRow="1" firstDataCol="0"/>
  <pivotFields count="13">
    <pivotField showAll="0"/>
    <pivotField showAll="0"/>
    <pivotField showAll="0"/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Items count="1">
    <i/>
  </rowItems>
  <colItems count="1">
    <i/>
  </colItems>
  <dataFields count="1">
    <dataField name="Soma de Total Value" fld="12" baseField="0" baseItem="0" numFmtId="164"/>
  </dataFields>
  <formats count="1">
    <format dxfId="7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6876E88-39DD-43FF-B79B-41C2CD33D89F}" sourceName="Subscription Type">
  <pivotTables>
    <pivotTable tabId="3" name="Tabela dinâmica7"/>
    <pivotTable tabId="3" name="Tabela dinâmica10"/>
    <pivotTable tabId="3" name="Tabela dinâmica8"/>
    <pivotTable tabId="3" name="Tabela dinâmica9"/>
  </pivotTables>
  <data>
    <tabular pivotCacheId="1053316808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C3E0B00-DDEE-4506-9DCF-0E2BE10CF461}" cache="SegmentaçãodeDados_Subscription_Type" caption="Subscription Type" style="Estilo de Segmentação de Dados 1" rowHeight="36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 totalsRowShown="0" dataDxfId="93">
  <autoFilter ref="A1:M296" xr:uid="{00000000-0009-0000-0100-000001000000}">
    <filterColumn colId="7">
      <filters>
        <filter val="Yes"/>
      </filters>
    </filterColumn>
  </autoFilter>
  <tableColumns count="13">
    <tableColumn id="1" xr3:uid="{00000000-0010-0000-0000-000001000000}" name="Subscriber ID" dataDxfId="92"/>
    <tableColumn id="2" xr3:uid="{00000000-0010-0000-0000-000002000000}" name="Name" dataDxfId="91"/>
    <tableColumn id="3" xr3:uid="{00000000-0010-0000-0000-000003000000}" name="Plan" dataDxfId="90"/>
    <tableColumn id="4" xr3:uid="{00000000-0010-0000-0000-000004000000}" name="Start Date" dataDxfId="89"/>
    <tableColumn id="5" xr3:uid="{00000000-0010-0000-0000-000005000000}" name="Auto Renewal" dataDxfId="88"/>
    <tableColumn id="6" xr3:uid="{00000000-0010-0000-0000-000006000000}" name="Subscription Price" dataDxfId="87" dataCellStyle="Moeda"/>
    <tableColumn id="7" xr3:uid="{00000000-0010-0000-0000-000007000000}" name="Subscription Type" dataDxfId="86"/>
    <tableColumn id="8" xr3:uid="{00000000-0010-0000-0000-000008000000}" name="EA Play Season Pass" dataDxfId="85"/>
    <tableColumn id="13" xr3:uid="{00000000-0010-0000-0000-00000D000000}" name="EA Play Season Pass_x000a_Price" dataDxfId="84" dataCellStyle="Moeda"/>
    <tableColumn id="9" xr3:uid="{00000000-0010-0000-0000-000009000000}" name="Minecraft Season Pass" dataDxfId="83"/>
    <tableColumn id="10" xr3:uid="{00000000-0010-0000-0000-00000A000000}" name="Minecraft Season Pass Price" dataDxfId="82" dataCellStyle="Moeda"/>
    <tableColumn id="11" xr3:uid="{00000000-0010-0000-0000-00000B000000}" name="Coupon Value" dataDxfId="81" dataCellStyle="Moeda"/>
    <tableColumn id="12" xr3:uid="{00000000-0010-0000-0000-00000C000000}" name="Total Value" dataDxfId="8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49992370372631"/>
  </sheetPr>
  <dimension ref="B3:P21"/>
  <sheetViews>
    <sheetView showGridLines="0" zoomScaleNormal="100" workbookViewId="0">
      <selection activeCell="E5" sqref="E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49992370372631"/>
  </sheetPr>
  <dimension ref="A1:M296"/>
  <sheetViews>
    <sheetView zoomScale="90" zoomScaleNormal="90" workbookViewId="0">
      <selection activeCell="E5" sqref="E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49992370372631"/>
  </sheetPr>
  <dimension ref="B2:C25"/>
  <sheetViews>
    <sheetView showGridLines="0" workbookViewId="0">
      <selection activeCell="C4" sqref="C4"/>
    </sheetView>
  </sheetViews>
  <sheetFormatPr defaultRowHeight="15" x14ac:dyDescent="0.25"/>
  <cols>
    <col min="2" max="2" width="18.42578125" bestFit="1" customWidth="1"/>
    <col min="3" max="3" width="19.28515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3" x14ac:dyDescent="0.25">
      <c r="B2" t="s">
        <v>313</v>
      </c>
    </row>
    <row r="3" spans="2:3" x14ac:dyDescent="0.25">
      <c r="B3" t="s">
        <v>317</v>
      </c>
    </row>
    <row r="4" spans="2:3" x14ac:dyDescent="0.25">
      <c r="B4" s="12">
        <v>7633</v>
      </c>
      <c r="C4" s="12">
        <f>GETPIVOTDATA("Total Value",$B$3)</f>
        <v>7633</v>
      </c>
    </row>
    <row r="6" spans="2:3" x14ac:dyDescent="0.25">
      <c r="B6" t="s">
        <v>314</v>
      </c>
    </row>
    <row r="7" spans="2:3" x14ac:dyDescent="0.25">
      <c r="B7" s="13" t="s">
        <v>318</v>
      </c>
      <c r="C7" t="s">
        <v>317</v>
      </c>
    </row>
    <row r="8" spans="2:3" x14ac:dyDescent="0.25">
      <c r="B8" s="14" t="s">
        <v>24</v>
      </c>
      <c r="C8" s="12">
        <v>1754</v>
      </c>
    </row>
    <row r="9" spans="2:3" x14ac:dyDescent="0.25">
      <c r="B9" s="14" t="s">
        <v>20</v>
      </c>
      <c r="C9" s="12">
        <v>3571</v>
      </c>
    </row>
    <row r="10" spans="2:3" x14ac:dyDescent="0.25">
      <c r="B10" s="14" t="s">
        <v>27</v>
      </c>
      <c r="C10" s="12">
        <v>2308</v>
      </c>
    </row>
    <row r="13" spans="2:3" x14ac:dyDescent="0.25">
      <c r="B13" s="14" t="s">
        <v>315</v>
      </c>
    </row>
    <row r="14" spans="2:3" x14ac:dyDescent="0.25">
      <c r="B14" s="13" t="s">
        <v>318</v>
      </c>
      <c r="C14" t="s">
        <v>317</v>
      </c>
    </row>
    <row r="15" spans="2:3" x14ac:dyDescent="0.25">
      <c r="B15" s="14" t="s">
        <v>22</v>
      </c>
      <c r="C15" s="12">
        <v>444</v>
      </c>
    </row>
    <row r="16" spans="2:3" x14ac:dyDescent="0.25">
      <c r="B16" s="14" t="s">
        <v>26</v>
      </c>
      <c r="C16" s="12">
        <v>1801</v>
      </c>
    </row>
    <row r="17" spans="2:3" x14ac:dyDescent="0.25">
      <c r="B17" s="14" t="s">
        <v>18</v>
      </c>
      <c r="C17" s="12">
        <v>5388</v>
      </c>
    </row>
    <row r="20" spans="2:3" x14ac:dyDescent="0.25">
      <c r="B20" s="14" t="s">
        <v>316</v>
      </c>
    </row>
    <row r="21" spans="2:3" x14ac:dyDescent="0.25">
      <c r="B21" s="13" t="s">
        <v>318</v>
      </c>
      <c r="C21" t="s">
        <v>320</v>
      </c>
    </row>
    <row r="22" spans="2:3" x14ac:dyDescent="0.25">
      <c r="B22" s="14" t="s">
        <v>23</v>
      </c>
      <c r="C22" s="16">
        <v>147</v>
      </c>
    </row>
    <row r="23" spans="2:3" x14ac:dyDescent="0.25">
      <c r="B23" s="14" t="s">
        <v>19</v>
      </c>
      <c r="C23" s="16">
        <v>148</v>
      </c>
    </row>
    <row r="24" spans="2:3" x14ac:dyDescent="0.25">
      <c r="B24" s="14" t="s">
        <v>319</v>
      </c>
      <c r="C24" s="16">
        <v>295</v>
      </c>
    </row>
    <row r="25" spans="2:3" x14ac:dyDescent="0.25">
      <c r="B25" t="s">
        <v>321</v>
      </c>
      <c r="C25" s="15">
        <f>C23/C24</f>
        <v>0.50169491525423726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B86"/>
  <sheetViews>
    <sheetView showGridLines="0" showRowColHeaders="0" tabSelected="1" zoomScaleNormal="100" workbookViewId="0">
      <selection activeCell="A22" sqref="A22"/>
    </sheetView>
  </sheetViews>
  <sheetFormatPr defaultRowHeight="15" x14ac:dyDescent="0.25"/>
  <cols>
    <col min="1" max="1" width="32.7109375" style="6" customWidth="1"/>
    <col min="2" max="2" width="3.5703125" customWidth="1"/>
    <col min="12" max="12" width="6.5703125" customWidth="1"/>
  </cols>
  <sheetData>
    <row r="3" spans="1:28" ht="41.25" thickBot="1" x14ac:dyDescent="0.75">
      <c r="D3" s="20" t="s">
        <v>324</v>
      </c>
      <c r="E3" s="19"/>
      <c r="F3" s="19"/>
      <c r="G3" s="19"/>
      <c r="H3" s="19"/>
      <c r="I3" s="19"/>
      <c r="J3" s="19"/>
      <c r="K3" s="19"/>
      <c r="L3" s="19"/>
      <c r="M3" s="19"/>
    </row>
    <row r="4" spans="1:28" ht="15.75" thickTop="1" x14ac:dyDescent="0.25"/>
    <row r="6" spans="1:28" x14ac:dyDescent="0.25"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6.5" x14ac:dyDescent="0.25">
      <c r="A7" s="17" t="s">
        <v>323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x14ac:dyDescent="0.25"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6.5" x14ac:dyDescent="0.25">
      <c r="A9" s="18" t="s">
        <v>322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25"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21"/>
      <c r="U10" s="7"/>
      <c r="V10" s="7"/>
      <c r="W10" s="7"/>
      <c r="X10" s="7"/>
      <c r="Y10" s="7"/>
      <c r="Z10" s="7"/>
      <c r="AA10" s="7"/>
      <c r="AB10" s="7"/>
    </row>
    <row r="11" spans="1:28" x14ac:dyDescent="0.25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25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25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x14ac:dyDescent="0.25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x14ac:dyDescent="0.25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x14ac:dyDescent="0.25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3:28" x14ac:dyDescent="0.25"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3:28" x14ac:dyDescent="0.25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3:28" x14ac:dyDescent="0.25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3:28" x14ac:dyDescent="0.25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3:28" x14ac:dyDescent="0.25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3:28" x14ac:dyDescent="0.25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3:28" x14ac:dyDescent="0.25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3:28" x14ac:dyDescent="0.25"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3:28" x14ac:dyDescent="0.25"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3:28" x14ac:dyDescent="0.25"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3:28" x14ac:dyDescent="0.25"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3:28" x14ac:dyDescent="0.25"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3:28" x14ac:dyDescent="0.25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3:28" x14ac:dyDescent="0.25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3:28" x14ac:dyDescent="0.25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3:28" x14ac:dyDescent="0.25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3:28" x14ac:dyDescent="0.25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3:28" x14ac:dyDescent="0.25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3:28" x14ac:dyDescent="0.25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3:28" x14ac:dyDescent="0.25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3:28" x14ac:dyDescent="0.25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3:28" x14ac:dyDescent="0.25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3:28" x14ac:dyDescent="0.25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3:28" x14ac:dyDescent="0.25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3:28" x14ac:dyDescent="0.25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3:28" x14ac:dyDescent="0.25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3:28" x14ac:dyDescent="0.25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3:28" x14ac:dyDescent="0.25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3:28" x14ac:dyDescent="0.25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3:28" x14ac:dyDescent="0.25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3:28" x14ac:dyDescent="0.25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3:28" x14ac:dyDescent="0.25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3:28" x14ac:dyDescent="0.25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3:28" x14ac:dyDescent="0.25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3:28" x14ac:dyDescent="0.25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3:28" x14ac:dyDescent="0.25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3:28" x14ac:dyDescent="0.25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3:28" x14ac:dyDescent="0.25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3:28" x14ac:dyDescent="0.25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3:28" x14ac:dyDescent="0.25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3:28" x14ac:dyDescent="0.25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3:28" x14ac:dyDescent="0.25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3:28" x14ac:dyDescent="0.25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3:28" x14ac:dyDescent="0.25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3:28" x14ac:dyDescent="0.25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3:28" x14ac:dyDescent="0.25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3:28" x14ac:dyDescent="0.25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3:28" x14ac:dyDescent="0.25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3:28" x14ac:dyDescent="0.25"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3:28" x14ac:dyDescent="0.25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3:28" x14ac:dyDescent="0.25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3:28" x14ac:dyDescent="0.25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3:28" x14ac:dyDescent="0.25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3:28" x14ac:dyDescent="0.25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3:28" x14ac:dyDescent="0.25"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3:28" x14ac:dyDescent="0.25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3:28" x14ac:dyDescent="0.25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3:28" x14ac:dyDescent="0.25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3:28" x14ac:dyDescent="0.25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3:28" x14ac:dyDescent="0.25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3:28" x14ac:dyDescent="0.25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3:28" x14ac:dyDescent="0.25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3:28" x14ac:dyDescent="0.25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3:28" x14ac:dyDescent="0.25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3:28" x14ac:dyDescent="0.25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3:28" x14ac:dyDescent="0.25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3:28" x14ac:dyDescent="0.25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3:28" x14ac:dyDescent="0.25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3:28" x14ac:dyDescent="0.25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3:28" x14ac:dyDescent="0.25"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Murillo Mendes</cp:lastModifiedBy>
  <dcterms:created xsi:type="dcterms:W3CDTF">2024-12-19T13:13:10Z</dcterms:created>
  <dcterms:modified xsi:type="dcterms:W3CDTF">2026-06-02T18:57:42Z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